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mgl-my.sharepoint.com/personal/zaind_boothman_fortescue_com/Documents/CB Quotes/"/>
    </mc:Choice>
  </mc:AlternateContent>
  <xr:revisionPtr revIDLastSave="0" documentId="8_{14F2F6D3-17C1-4EBA-8831-36B0F682CD1C}" xr6:coauthVersionLast="47" xr6:coauthVersionMax="47" xr10:uidLastSave="{00000000-0000-0000-0000-000000000000}"/>
  <bookViews>
    <workbookView xWindow="-49905" yWindow="-3825" windowWidth="22980" windowHeight="12195" xr2:uid="{00000000-000D-0000-FFFF-FFFF00000000}"/>
  </bookViews>
  <sheets>
    <sheet name="Quote" sheetId="1" r:id="rId1"/>
  </sheets>
  <definedNames>
    <definedName name="_xlnm.Print_Area" localSheetId="0">Quote!$A$1:$O$24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1" l="1"/>
  <c r="O21" i="1"/>
  <c r="O22" i="1"/>
  <c r="O23" i="1"/>
  <c r="O19" i="1"/>
  <c r="O24" i="1" s="1"/>
</calcChain>
</file>

<file path=xl/sharedStrings.xml><?xml version="1.0" encoding="utf-8"?>
<sst xmlns="http://schemas.openxmlformats.org/spreadsheetml/2006/main" count="73" uniqueCount="68">
  <si>
    <r>
      <rPr>
        <b/>
        <sz val="36"/>
        <color indexed="10"/>
        <rFont val="Times New Roman"/>
        <family val="1"/>
      </rPr>
      <t xml:space="preserve">Rowe Scientific </t>
    </r>
    <r>
      <rPr>
        <b/>
        <sz val="16"/>
        <color indexed="10"/>
        <rFont val="Times New Roman"/>
        <family val="1"/>
      </rPr>
      <t>Pty Ltd</t>
    </r>
  </si>
  <si>
    <t>Scientific Supplies, Instruments 
&amp; Consulting</t>
  </si>
  <si>
    <t>11 Challenge Boulevard_x000D_
Wangara WA 6065_x000D_
Tel: +61 (08) 9302 1911_x000D_
rowewa@rowe.com.au</t>
  </si>
  <si>
    <t>ABN 63 009 437 790</t>
  </si>
  <si>
    <t xml:space="preserve">      ADELAIDE - BRISBANE - MELBOURNE - PERTH - SYDNEY</t>
  </si>
  <si>
    <t>For Accuracy &amp; Professionalism</t>
  </si>
  <si>
    <t>Web:</t>
  </si>
  <si>
    <t>www.rowe.com.au</t>
  </si>
  <si>
    <t>Quotation No.</t>
  </si>
  <si>
    <t>00876487</t>
  </si>
  <si>
    <t>Email:</t>
  </si>
  <si>
    <t>christopher.krijger@fortescue.com</t>
  </si>
  <si>
    <t>Date:</t>
  </si>
  <si>
    <t>31/10/25</t>
  </si>
  <si>
    <t>To:</t>
  </si>
  <si>
    <t xml:space="preserve">CHICHESTER METALS PTY LTD </t>
  </si>
  <si>
    <t>Please advise if our prices are uncompetitive as we want to be your supplier.</t>
  </si>
  <si>
    <t>QUOTATION</t>
  </si>
  <si>
    <t>Attn:</t>
  </si>
  <si>
    <t>CHRISTOPHER KRIJGER</t>
  </si>
  <si>
    <t>From:</t>
  </si>
  <si>
    <t>JOEL RUDRUM</t>
  </si>
  <si>
    <t/>
  </si>
  <si>
    <r>
      <t xml:space="preserve">- Offer remains valid for 14 days, or whilst stocks last.
- Prices are quoted in Australian Dollars (AUD) and do not include 10% GST.
- Handling/Post/Pack/Freight fees apply. 
   A single small parcel order, METRO delivery, non-DG, with a value greater than $250, is F.I.S.
   Additional charges apply for multiple packages, regional deliveries, bulk, DG shipments, or urgent deliveries.
- Offer subject to Rowe Scientific Pty Ltd standard terms and conditions 
   (www.rowe.com.au/rowe/Terms_and_Conditions_of_Sale.htm).
- Prices may be subject to any variation in the current exchange rate or customs duty.  
   Any variation in these rates will be advised.
- Non-stocked items, ordered as an indent, may not be cancelled once ordered.
- Client has responsibility for determining if item is suitable for their needs.                                                                  
- Order values significantly in excess of your normal/regular trading may require negotiated payment terms. 
 </t>
    </r>
    <r>
      <rPr>
        <b/>
        <sz val="9"/>
        <rFont val="Arial"/>
      </rPr>
      <t xml:space="preserve">  
</t>
    </r>
  </si>
  <si>
    <t>In Stk = In stock local whs, NS = In stock national whs, ETA = Due date/days into our warehouse</t>
  </si>
  <si>
    <t>Line No.</t>
  </si>
  <si>
    <t>Rowe Code</t>
  </si>
  <si>
    <t>Client Code</t>
  </si>
  <si>
    <t>Product Description</t>
  </si>
  <si>
    <t>Unit</t>
  </si>
  <si>
    <t>Qty</t>
  </si>
  <si>
    <t>Unit Price (excl GST)</t>
  </si>
  <si>
    <t>Availability</t>
  </si>
  <si>
    <t>Ext. Price (excl GST)</t>
  </si>
  <si>
    <t>1</t>
  </si>
  <si>
    <t>KH1044</t>
  </si>
  <si>
    <t>HACH SAMPLE CELLS FOR 2100P AND 2100Q TURBIDIMETERS (2434706)</t>
  </si>
  <si>
    <t>6</t>
  </si>
  <si>
    <t>1.00</t>
  </si>
  <si>
    <t>133.17</t>
  </si>
  <si>
    <t>10 In Stk</t>
  </si>
  <si>
    <t>2</t>
  </si>
  <si>
    <t>IP5002</t>
  </si>
  <si>
    <t>PROBE pH/ORP, REPLACEMENT, FOR MYRON 6P (ML-RPR)</t>
  </si>
  <si>
    <t>EA</t>
  </si>
  <si>
    <t>2.00</t>
  </si>
  <si>
    <t>477.36</t>
  </si>
  <si>
    <t>3 In Stk</t>
  </si>
  <si>
    <t>3</t>
  </si>
  <si>
    <t>CB3110</t>
  </si>
  <si>
    <t>3161789</t>
  </si>
  <si>
    <t>BUFFER pH 7.00 (GREEN) SOLUTION, NIST TRACEABLE (CERTIFICATE ONLINE) (R608)</t>
  </si>
  <si>
    <t>1L</t>
  </si>
  <si>
    <t>24.00</t>
  </si>
  <si>
    <t>19.50</t>
  </si>
  <si>
    <t>67 In Stk</t>
  </si>
  <si>
    <t>4</t>
  </si>
  <si>
    <t>CB2665</t>
  </si>
  <si>
    <t>3161788</t>
  </si>
  <si>
    <t>BUFFER pH 4.00 (RED) SOLUTION, NIST TRACEABLE (CERTIFICATE ONLINE) (*R608)</t>
  </si>
  <si>
    <t>12.00</t>
  </si>
  <si>
    <t>171 In Stk</t>
  </si>
  <si>
    <t>5</t>
  </si>
  <si>
    <t>CB3510</t>
  </si>
  <si>
    <t>3161790</t>
  </si>
  <si>
    <t>BUFFER pH 10.00 (BLUE) SOLUTION (CERTIFICATE ONLINE) (R608)</t>
  </si>
  <si>
    <t>96 In Stk</t>
  </si>
  <si>
    <t>Total (excl GST)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</si>
</sst>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\-0.00\ "/>
  </numFmts>
  <fonts count="25" x14ac:knownFonts="1">
    <font>
      <sz val="10"/>
      <name val="Arial"/>
      <family val="2"/>
    </font>
    <font>
      <b/>
      <sz val="36"/>
      <color indexed="10"/>
      <name val="Times New Roman"/>
      <family val="1"/>
    </font>
    <font>
      <b/>
      <sz val="36"/>
      <color rgb="FFFF0000"/>
      <name val="Times New Roman"/>
      <family val="1"/>
    </font>
    <font>
      <sz val="10"/>
      <name val="Calibri"/>
      <scheme val="minor"/>
    </font>
    <font>
      <sz val="10"/>
      <name val="Times New Roman"/>
      <family val="1"/>
    </font>
    <font>
      <b/>
      <sz val="11"/>
      <name val="Calibri"/>
      <scheme val="minor"/>
    </font>
    <font>
      <sz val="11"/>
      <name val="Arial"/>
    </font>
    <font>
      <i/>
      <sz val="10"/>
      <name val="Times New Roman"/>
      <family val="1"/>
    </font>
    <font>
      <sz val="12"/>
      <name val="Arial"/>
    </font>
    <font>
      <b/>
      <sz val="12"/>
      <name val="Arial"/>
    </font>
    <font>
      <sz val="48"/>
      <name val="Arial"/>
    </font>
    <font>
      <i/>
      <sz val="10"/>
      <name val="Arial Narrow"/>
    </font>
    <font>
      <b/>
      <sz val="28"/>
      <name val="Arial"/>
    </font>
    <font>
      <b/>
      <sz val="18"/>
      <name val="Arial"/>
    </font>
    <font>
      <b/>
      <i/>
      <sz val="10"/>
      <color indexed="10"/>
      <name val="Arial"/>
    </font>
    <font>
      <b/>
      <sz val="8"/>
      <name val="Arial"/>
    </font>
    <font>
      <b/>
      <sz val="8"/>
      <color rgb="FFFF0000"/>
      <name val="Arial"/>
    </font>
    <font>
      <b/>
      <sz val="10"/>
      <name val="Arial"/>
    </font>
    <font>
      <b/>
      <sz val="10"/>
      <color rgb="FFFF0000"/>
      <name val="Arial"/>
    </font>
    <font>
      <sz val="9"/>
      <name val="Arial"/>
    </font>
    <font>
      <sz val="8"/>
      <name val="Arial"/>
    </font>
    <font>
      <b/>
      <sz val="11"/>
      <name val="Arial"/>
    </font>
    <font>
      <sz val="10"/>
      <color indexed="10"/>
      <name val="Arial"/>
    </font>
    <font>
      <b/>
      <sz val="16"/>
      <color indexed="10"/>
      <name val="Times New Roman"/>
      <family val="1"/>
    </font>
    <font>
      <b/>
      <sz val="9"/>
      <name val="Arial"/>
    </font>
  </fonts>
  <fills count="5">
    <fill>
      <patternFill patternType="none"/>
    </fill>
    <fill>
      <patternFill patternType="gray125"/>
    </fill>
    <fill>
      <patternFill patternType="gray0625">
        <fgColor indexed="9"/>
        <bgColor indexed="9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2499465926084170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49" fontId="0" fillId="0" borderId="0" xfId="0" applyNumberFormat="1"/>
    <xf numFmtId="2" fontId="0" fillId="0" borderId="0" xfId="0" applyNumberFormat="1"/>
    <xf numFmtId="0" fontId="1" fillId="0" borderId="0" xfId="0" applyFont="1" applyAlignment="1">
      <alignment wrapText="1"/>
    </xf>
    <xf numFmtId="2" fontId="0" fillId="0" borderId="0" xfId="0" applyNumberFormat="1" applyAlignment="1">
      <alignment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textRotation="180"/>
    </xf>
    <xf numFmtId="0" fontId="17" fillId="4" borderId="9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vertical="center" wrapText="1"/>
    </xf>
    <xf numFmtId="49" fontId="17" fillId="4" borderId="14" xfId="0" applyNumberFormat="1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2" fontId="17" fillId="4" borderId="14" xfId="0" applyNumberFormat="1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1" fontId="19" fillId="0" borderId="9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1" fontId="19" fillId="0" borderId="9" xfId="0" applyNumberFormat="1" applyFont="1" applyBorder="1" applyAlignment="1">
      <alignment horizontal="center" vertical="center"/>
    </xf>
    <xf numFmtId="164" fontId="19" fillId="0" borderId="9" xfId="0" applyNumberFormat="1" applyFont="1" applyBorder="1" applyAlignment="1">
      <alignment horizontal="center" vertical="center"/>
    </xf>
    <xf numFmtId="39" fontId="19" fillId="0" borderId="9" xfId="0" applyNumberFormat="1" applyFont="1" applyBorder="1" applyAlignment="1">
      <alignment horizontal="center" vertical="center"/>
    </xf>
    <xf numFmtId="49" fontId="20" fillId="0" borderId="9" xfId="0" applyNumberFormat="1" applyFont="1" applyBorder="1" applyAlignment="1">
      <alignment horizontal="center" vertical="center" wrapText="1"/>
    </xf>
    <xf numFmtId="39" fontId="19" fillId="0" borderId="9" xfId="0" applyNumberFormat="1" applyFont="1" applyBorder="1" applyAlignment="1">
      <alignment horizontal="right" vertical="center"/>
    </xf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5" xfId="0" applyFill="1" applyBorder="1"/>
    <xf numFmtId="49" fontId="0" fillId="4" borderId="9" xfId="0" applyNumberFormat="1" applyFill="1" applyBorder="1"/>
    <xf numFmtId="39" fontId="9" fillId="4" borderId="9" xfId="0" applyNumberFormat="1" applyFont="1" applyFill="1" applyBorder="1" applyAlignment="1">
      <alignment horizontal="right"/>
    </xf>
    <xf numFmtId="49" fontId="0" fillId="0" borderId="0" xfId="0" applyNumberFormat="1" applyAlignment="1">
      <alignment horizontal="center"/>
    </xf>
    <xf numFmtId="0" fontId="22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2" fontId="21" fillId="4" borderId="10" xfId="0" applyNumberFormat="1" applyFont="1" applyFill="1" applyBorder="1" applyAlignment="1">
      <alignment horizontal="center"/>
    </xf>
    <xf numFmtId="2" fontId="21" fillId="4" borderId="15" xfId="0" applyNumberFormat="1" applyFont="1" applyFill="1" applyBorder="1" applyAlignment="1">
      <alignment horizont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/>
    </xf>
    <xf numFmtId="2" fontId="0" fillId="0" borderId="0" xfId="0" applyNumberFormat="1"/>
    <xf numFmtId="0" fontId="17" fillId="4" borderId="10" xfId="0" applyFont="1" applyFill="1" applyBorder="1" applyAlignment="1">
      <alignment vertical="center" wrapText="1"/>
    </xf>
    <xf numFmtId="0" fontId="17" fillId="4" borderId="11" xfId="0" applyFont="1" applyFill="1" applyBorder="1" applyAlignment="1">
      <alignment vertical="center" wrapText="1"/>
    </xf>
    <xf numFmtId="0" fontId="17" fillId="4" borderId="12" xfId="0" applyFont="1" applyFill="1" applyBorder="1" applyAlignment="1">
      <alignment vertical="center" wrapText="1"/>
    </xf>
    <xf numFmtId="0" fontId="0" fillId="4" borderId="12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2" fontId="15" fillId="3" borderId="2" xfId="0" quotePrefix="1" applyNumberFormat="1" applyFont="1" applyFill="1" applyBorder="1" applyAlignment="1">
      <alignment horizontal="left" vertical="top" wrapText="1"/>
    </xf>
    <xf numFmtId="2" fontId="15" fillId="3" borderId="3" xfId="0" quotePrefix="1" applyNumberFormat="1" applyFont="1" applyFill="1" applyBorder="1" applyAlignment="1">
      <alignment horizontal="left" vertical="top" wrapText="1"/>
    </xf>
    <xf numFmtId="2" fontId="15" fillId="3" borderId="4" xfId="0" quotePrefix="1" applyNumberFormat="1" applyFont="1" applyFill="1" applyBorder="1" applyAlignment="1">
      <alignment horizontal="left" vertical="top" wrapText="1"/>
    </xf>
    <xf numFmtId="2" fontId="15" fillId="3" borderId="5" xfId="0" quotePrefix="1" applyNumberFormat="1" applyFont="1" applyFill="1" applyBorder="1" applyAlignment="1">
      <alignment horizontal="left" vertical="top" wrapText="1"/>
    </xf>
    <xf numFmtId="2" fontId="15" fillId="3" borderId="0" xfId="0" quotePrefix="1" applyNumberFormat="1" applyFont="1" applyFill="1" applyAlignment="1">
      <alignment horizontal="left" vertical="top" wrapText="1"/>
    </xf>
    <xf numFmtId="2" fontId="15" fillId="3" borderId="6" xfId="0" quotePrefix="1" applyNumberFormat="1" applyFont="1" applyFill="1" applyBorder="1" applyAlignment="1">
      <alignment horizontal="left" vertical="top" wrapText="1"/>
    </xf>
    <xf numFmtId="2" fontId="16" fillId="3" borderId="7" xfId="0" quotePrefix="1" applyNumberFormat="1" applyFont="1" applyFill="1" applyBorder="1" applyAlignment="1">
      <alignment horizontal="center" vertical="center" wrapText="1"/>
    </xf>
    <xf numFmtId="2" fontId="16" fillId="3" borderId="1" xfId="0" quotePrefix="1" applyNumberFormat="1" applyFont="1" applyFill="1" applyBorder="1" applyAlignment="1">
      <alignment horizontal="center" vertical="center" wrapText="1"/>
    </xf>
    <xf numFmtId="2" fontId="16" fillId="3" borderId="8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38100</xdr:rowOff>
    </xdr:from>
    <xdr:to>
      <xdr:col>1</xdr:col>
      <xdr:colOff>419100</xdr:colOff>
      <xdr:row>4</xdr:row>
      <xdr:rowOff>89535</xdr:rowOff>
    </xdr:to>
    <xdr:pic>
      <xdr:nvPicPr>
        <xdr:cNvPr id="1200" name="Picture 9" descr="2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66675" y="38098"/>
          <a:ext cx="742950" cy="10991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352425</xdr:colOff>
      <xdr:row>0</xdr:row>
      <xdr:rowOff>28575</xdr:rowOff>
    </xdr:from>
    <xdr:to>
      <xdr:col>14</xdr:col>
      <xdr:colOff>569595</xdr:colOff>
      <xdr:row>3</xdr:row>
      <xdr:rowOff>0</xdr:rowOff>
    </xdr:to>
    <xdr:pic>
      <xdr:nvPicPr>
        <xdr:cNvPr id="1201" name="Picture 6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9953623" y="28575"/>
          <a:ext cx="217330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68"/>
  <sheetViews>
    <sheetView showZeros="0" tabSelected="1" zoomScaleNormal="100" workbookViewId="0">
      <selection activeCell="C6" sqref="C6"/>
    </sheetView>
  </sheetViews>
  <sheetFormatPr defaultRowHeight="13.2" x14ac:dyDescent="0.25"/>
  <cols>
    <col min="1" max="1" width="5.88671875" customWidth="1"/>
    <col min="2" max="2" width="10.88671875" customWidth="1"/>
    <col min="3" max="3" width="12.88671875" customWidth="1"/>
    <col min="5" max="5" width="14.6640625" customWidth="1"/>
    <col min="6" max="6" width="14.5546875" customWidth="1"/>
    <col min="7" max="7" width="12.109375" customWidth="1"/>
    <col min="8" max="8" width="6.109375" customWidth="1"/>
    <col min="9" max="9" width="3.6640625" customWidth="1"/>
    <col min="10" max="10" width="4.6640625" customWidth="1"/>
    <col min="11" max="11" width="8.33203125" style="2" customWidth="1"/>
    <col min="12" max="12" width="9.88671875" customWidth="1"/>
    <col min="13" max="13" width="12.44140625" style="3" customWidth="1"/>
    <col min="14" max="14" width="18.6640625" customWidth="1"/>
    <col min="15" max="15" width="13.6640625" customWidth="1"/>
  </cols>
  <sheetData>
    <row r="1" spans="1:15" ht="42" customHeight="1" x14ac:dyDescent="0.75">
      <c r="B1" s="4"/>
      <c r="C1" s="53" t="s">
        <v>0</v>
      </c>
      <c r="D1" s="53"/>
      <c r="E1" s="53"/>
      <c r="F1" s="53"/>
      <c r="G1" s="53"/>
      <c r="H1" s="53"/>
      <c r="I1" s="36" t="s">
        <v>1</v>
      </c>
      <c r="J1" s="36"/>
      <c r="K1" s="36"/>
      <c r="L1" s="43" t="s">
        <v>2</v>
      </c>
      <c r="M1" s="44"/>
      <c r="N1" s="45"/>
    </row>
    <row r="2" spans="1:15" ht="12.75" customHeight="1" x14ac:dyDescent="0.25">
      <c r="D2" s="51" t="s">
        <v>3</v>
      </c>
      <c r="E2" s="52"/>
      <c r="F2" s="52"/>
      <c r="I2" s="36"/>
      <c r="J2" s="36"/>
      <c r="K2" s="36"/>
      <c r="L2" s="44"/>
      <c r="M2" s="44"/>
      <c r="N2" s="45"/>
    </row>
    <row r="3" spans="1:15" ht="15" customHeight="1" x14ac:dyDescent="0.25">
      <c r="B3" s="41" t="s">
        <v>4</v>
      </c>
      <c r="C3" s="42"/>
      <c r="D3" s="42"/>
      <c r="E3" s="42"/>
      <c r="F3" s="42"/>
      <c r="G3" s="42"/>
      <c r="H3" s="42"/>
      <c r="I3" s="35" t="s">
        <v>5</v>
      </c>
      <c r="J3" s="35"/>
      <c r="K3" s="35"/>
      <c r="L3" s="44"/>
      <c r="M3" s="44"/>
      <c r="N3" s="45"/>
    </row>
    <row r="4" spans="1:15" ht="15" x14ac:dyDescent="0.25">
      <c r="I4" s="35"/>
      <c r="J4" s="35"/>
      <c r="K4" s="35"/>
      <c r="L4" s="6" t="s">
        <v>6</v>
      </c>
      <c r="M4" t="s">
        <v>7</v>
      </c>
      <c r="N4" s="7"/>
    </row>
    <row r="5" spans="1:15" x14ac:dyDescent="0.25">
      <c r="K5" s="8"/>
      <c r="L5" s="7"/>
      <c r="M5" s="5"/>
    </row>
    <row r="6" spans="1:15" ht="18" customHeight="1" x14ac:dyDescent="0.25">
      <c r="A6" s="9" t="s">
        <v>8</v>
      </c>
      <c r="C6" s="10" t="s">
        <v>9</v>
      </c>
      <c r="D6" s="2"/>
      <c r="F6" s="6" t="s">
        <v>10</v>
      </c>
      <c r="G6" s="11" t="s">
        <v>11</v>
      </c>
      <c r="L6" s="6" t="s">
        <v>12</v>
      </c>
      <c r="M6" s="11" t="s">
        <v>13</v>
      </c>
      <c r="O6" s="12"/>
    </row>
    <row r="7" spans="1:15" ht="15" customHeight="1" x14ac:dyDescent="0.25">
      <c r="A7" s="10" t="s">
        <v>14</v>
      </c>
      <c r="B7" s="7" t="s">
        <v>15</v>
      </c>
      <c r="G7" s="66" t="s">
        <v>16</v>
      </c>
      <c r="H7" s="66"/>
      <c r="I7" s="66"/>
      <c r="J7" s="66"/>
      <c r="K7" s="66"/>
      <c r="L7" s="39" t="s">
        <v>17</v>
      </c>
      <c r="M7" s="40"/>
      <c r="N7" s="40"/>
      <c r="O7" s="40"/>
    </row>
    <row r="8" spans="1:15" ht="13.8" x14ac:dyDescent="0.25">
      <c r="A8" s="10" t="s">
        <v>18</v>
      </c>
      <c r="B8" s="7" t="s">
        <v>19</v>
      </c>
      <c r="G8" s="66"/>
      <c r="H8" s="66"/>
      <c r="I8" s="66"/>
      <c r="J8" s="66"/>
      <c r="K8" s="66"/>
      <c r="L8" s="40"/>
      <c r="M8" s="40"/>
      <c r="N8" s="40"/>
      <c r="O8" s="40"/>
    </row>
    <row r="9" spans="1:15" ht="14.4" thickBot="1" x14ac:dyDescent="0.3">
      <c r="A9" s="10" t="s">
        <v>20</v>
      </c>
      <c r="B9" s="7" t="s">
        <v>21</v>
      </c>
      <c r="G9" s="34"/>
      <c r="H9" s="34"/>
      <c r="I9" s="34"/>
      <c r="J9" s="34"/>
      <c r="K9" s="34"/>
      <c r="L9" s="40"/>
      <c r="M9" s="40"/>
      <c r="N9" s="40"/>
      <c r="O9" s="40"/>
    </row>
    <row r="10" spans="1:15" ht="11.25" customHeight="1" thickTop="1" x14ac:dyDescent="0.25">
      <c r="A10" s="54" t="s">
        <v>22</v>
      </c>
      <c r="B10" s="55"/>
      <c r="C10" s="55"/>
      <c r="D10" s="55"/>
      <c r="E10" s="55"/>
      <c r="F10" s="56"/>
      <c r="G10" s="67" t="s">
        <v>23</v>
      </c>
      <c r="H10" s="68"/>
      <c r="I10" s="68"/>
      <c r="J10" s="68"/>
      <c r="K10" s="68"/>
      <c r="L10" s="68"/>
      <c r="M10" s="68"/>
      <c r="N10" s="68"/>
      <c r="O10" s="69"/>
    </row>
    <row r="11" spans="1:15" ht="15.75" customHeight="1" x14ac:dyDescent="0.25">
      <c r="A11" s="57"/>
      <c r="B11" s="58"/>
      <c r="C11" s="58"/>
      <c r="D11" s="58"/>
      <c r="E11" s="58"/>
      <c r="F11" s="59"/>
      <c r="G11" s="70"/>
      <c r="H11" s="71"/>
      <c r="I11" s="71"/>
      <c r="J11" s="71"/>
      <c r="K11" s="71"/>
      <c r="L11" s="71"/>
      <c r="M11" s="71"/>
      <c r="N11" s="71"/>
      <c r="O11" s="72"/>
    </row>
    <row r="12" spans="1:15" ht="13.5" customHeight="1" x14ac:dyDescent="0.25">
      <c r="A12" s="57"/>
      <c r="B12" s="58"/>
      <c r="C12" s="58"/>
      <c r="D12" s="58"/>
      <c r="E12" s="58"/>
      <c r="F12" s="59"/>
      <c r="G12" s="70"/>
      <c r="H12" s="71"/>
      <c r="I12" s="71"/>
      <c r="J12" s="71"/>
      <c r="K12" s="71"/>
      <c r="L12" s="71"/>
      <c r="M12" s="71"/>
      <c r="N12" s="71"/>
      <c r="O12" s="72"/>
    </row>
    <row r="13" spans="1:15" ht="12.75" customHeight="1" x14ac:dyDescent="0.25">
      <c r="A13" s="57"/>
      <c r="B13" s="58"/>
      <c r="C13" s="58"/>
      <c r="D13" s="58"/>
      <c r="E13" s="58"/>
      <c r="F13" s="59"/>
      <c r="G13" s="70"/>
      <c r="H13" s="71"/>
      <c r="I13" s="71"/>
      <c r="J13" s="71"/>
      <c r="K13" s="71"/>
      <c r="L13" s="71"/>
      <c r="M13" s="71"/>
      <c r="N13" s="71"/>
      <c r="O13" s="72"/>
    </row>
    <row r="14" spans="1:15" ht="24.75" customHeight="1" x14ac:dyDescent="0.25">
      <c r="A14" s="57"/>
      <c r="B14" s="58"/>
      <c r="C14" s="58"/>
      <c r="D14" s="58"/>
      <c r="E14" s="58"/>
      <c r="F14" s="59"/>
      <c r="G14" s="70"/>
      <c r="H14" s="71"/>
      <c r="I14" s="71"/>
      <c r="J14" s="71"/>
      <c r="K14" s="71"/>
      <c r="L14" s="71"/>
      <c r="M14" s="71"/>
      <c r="N14" s="71"/>
      <c r="O14" s="72"/>
    </row>
    <row r="15" spans="1:15" ht="31.5" customHeight="1" x14ac:dyDescent="0.25">
      <c r="A15" s="57"/>
      <c r="B15" s="58"/>
      <c r="C15" s="58"/>
      <c r="D15" s="58"/>
      <c r="E15" s="58"/>
      <c r="F15" s="59"/>
      <c r="G15" s="70"/>
      <c r="H15" s="71"/>
      <c r="I15" s="71"/>
      <c r="J15" s="71"/>
      <c r="K15" s="71"/>
      <c r="L15" s="71"/>
      <c r="M15" s="71"/>
      <c r="N15" s="71"/>
      <c r="O15" s="72"/>
    </row>
    <row r="16" spans="1:15" ht="30" customHeight="1" x14ac:dyDescent="0.25">
      <c r="A16" s="57"/>
      <c r="B16" s="58"/>
      <c r="C16" s="58"/>
      <c r="D16" s="58"/>
      <c r="E16" s="58"/>
      <c r="F16" s="59"/>
      <c r="G16" s="70"/>
      <c r="H16" s="71"/>
      <c r="I16" s="71"/>
      <c r="J16" s="71"/>
      <c r="K16" s="71"/>
      <c r="L16" s="71"/>
      <c r="M16" s="71"/>
      <c r="N16" s="71"/>
      <c r="O16" s="72"/>
    </row>
    <row r="17" spans="1:15" ht="19.649999999999999" customHeight="1" thickBot="1" x14ac:dyDescent="0.3">
      <c r="A17" s="60"/>
      <c r="B17" s="61"/>
      <c r="C17" s="61"/>
      <c r="D17" s="61"/>
      <c r="E17" s="61"/>
      <c r="F17" s="62"/>
      <c r="G17" s="73" t="s">
        <v>24</v>
      </c>
      <c r="H17" s="74"/>
      <c r="I17" s="74"/>
      <c r="J17" s="74"/>
      <c r="K17" s="74"/>
      <c r="L17" s="74"/>
      <c r="M17" s="74"/>
      <c r="N17" s="74"/>
      <c r="O17" s="75"/>
    </row>
    <row r="18" spans="1:15" s="1" customFormat="1" ht="32.25" customHeight="1" thickTop="1" x14ac:dyDescent="0.25">
      <c r="A18" s="13" t="s">
        <v>25</v>
      </c>
      <c r="B18" s="13" t="s">
        <v>26</v>
      </c>
      <c r="C18" s="14" t="s">
        <v>27</v>
      </c>
      <c r="D18" s="46" t="s">
        <v>28</v>
      </c>
      <c r="E18" s="47"/>
      <c r="F18" s="47"/>
      <c r="G18" s="47"/>
      <c r="H18" s="48"/>
      <c r="I18" s="49"/>
      <c r="J18" s="50"/>
      <c r="K18" s="15" t="s">
        <v>29</v>
      </c>
      <c r="L18" s="16" t="s">
        <v>30</v>
      </c>
      <c r="M18" s="17" t="s">
        <v>31</v>
      </c>
      <c r="N18" s="18" t="s">
        <v>32</v>
      </c>
      <c r="O18" s="17" t="s">
        <v>33</v>
      </c>
    </row>
    <row r="19" spans="1:15" ht="36.9" customHeight="1" x14ac:dyDescent="0.25">
      <c r="A19" s="19" t="s">
        <v>34</v>
      </c>
      <c r="B19" s="20" t="s">
        <v>35</v>
      </c>
      <c r="C19" s="20"/>
      <c r="D19" s="63" t="s">
        <v>36</v>
      </c>
      <c r="E19" s="64"/>
      <c r="F19" s="64"/>
      <c r="G19" s="64"/>
      <c r="H19" s="64"/>
      <c r="I19" s="64"/>
      <c r="J19" s="65"/>
      <c r="K19" s="21" t="s">
        <v>37</v>
      </c>
      <c r="L19" s="22" t="s">
        <v>38</v>
      </c>
      <c r="M19" s="23" t="s">
        <v>39</v>
      </c>
      <c r="N19" s="24" t="s">
        <v>40</v>
      </c>
      <c r="O19" s="25">
        <f>L19*M19</f>
        <v>133.16999999999999</v>
      </c>
    </row>
    <row r="20" spans="1:15" ht="36.9" customHeight="1" x14ac:dyDescent="0.25">
      <c r="A20" s="19" t="s">
        <v>41</v>
      </c>
      <c r="B20" s="20" t="s">
        <v>42</v>
      </c>
      <c r="C20" s="20"/>
      <c r="D20" s="63" t="s">
        <v>43</v>
      </c>
      <c r="E20" s="64"/>
      <c r="F20" s="64"/>
      <c r="G20" s="64"/>
      <c r="H20" s="64"/>
      <c r="I20" s="64"/>
      <c r="J20" s="65"/>
      <c r="K20" s="21" t="s">
        <v>44</v>
      </c>
      <c r="L20" s="22" t="s">
        <v>45</v>
      </c>
      <c r="M20" s="23" t="s">
        <v>46</v>
      </c>
      <c r="N20" s="24" t="s">
        <v>47</v>
      </c>
      <c r="O20" s="25">
        <f t="shared" ref="O20:O23" si="0">L20*M20</f>
        <v>954.72</v>
      </c>
    </row>
    <row r="21" spans="1:15" ht="36.9" customHeight="1" x14ac:dyDescent="0.25">
      <c r="A21" s="19" t="s">
        <v>48</v>
      </c>
      <c r="B21" s="20" t="s">
        <v>49</v>
      </c>
      <c r="C21" s="20" t="s">
        <v>50</v>
      </c>
      <c r="D21" s="63" t="s">
        <v>51</v>
      </c>
      <c r="E21" s="64"/>
      <c r="F21" s="64"/>
      <c r="G21" s="64"/>
      <c r="H21" s="64"/>
      <c r="I21" s="64"/>
      <c r="J21" s="65"/>
      <c r="K21" s="21" t="s">
        <v>52</v>
      </c>
      <c r="L21" s="22" t="s">
        <v>53</v>
      </c>
      <c r="M21" s="23" t="s">
        <v>54</v>
      </c>
      <c r="N21" s="24" t="s">
        <v>55</v>
      </c>
      <c r="O21" s="25">
        <f t="shared" si="0"/>
        <v>468</v>
      </c>
    </row>
    <row r="22" spans="1:15" ht="36.9" customHeight="1" x14ac:dyDescent="0.25">
      <c r="A22" s="19" t="s">
        <v>56</v>
      </c>
      <c r="B22" s="20" t="s">
        <v>57</v>
      </c>
      <c r="C22" s="20" t="s">
        <v>58</v>
      </c>
      <c r="D22" s="63" t="s">
        <v>59</v>
      </c>
      <c r="E22" s="64"/>
      <c r="F22" s="64"/>
      <c r="G22" s="64"/>
      <c r="H22" s="64"/>
      <c r="I22" s="64"/>
      <c r="J22" s="65"/>
      <c r="K22" s="21" t="s">
        <v>52</v>
      </c>
      <c r="L22" s="22" t="s">
        <v>60</v>
      </c>
      <c r="M22" s="23" t="s">
        <v>54</v>
      </c>
      <c r="N22" s="24" t="s">
        <v>61</v>
      </c>
      <c r="O22" s="25">
        <f t="shared" si="0"/>
        <v>234</v>
      </c>
    </row>
    <row r="23" spans="1:15" ht="36.9" customHeight="1" x14ac:dyDescent="0.25">
      <c r="A23" s="19" t="s">
        <v>62</v>
      </c>
      <c r="B23" s="20" t="s">
        <v>63</v>
      </c>
      <c r="C23" s="20" t="s">
        <v>64</v>
      </c>
      <c r="D23" s="63" t="s">
        <v>65</v>
      </c>
      <c r="E23" s="64"/>
      <c r="F23" s="64"/>
      <c r="G23" s="64"/>
      <c r="H23" s="64"/>
      <c r="I23" s="64"/>
      <c r="J23" s="65"/>
      <c r="K23" s="21" t="s">
        <v>52</v>
      </c>
      <c r="L23" s="22" t="s">
        <v>60</v>
      </c>
      <c r="M23" s="23" t="s">
        <v>54</v>
      </c>
      <c r="N23" s="24" t="s">
        <v>66</v>
      </c>
      <c r="O23" s="25">
        <f t="shared" si="0"/>
        <v>234</v>
      </c>
    </row>
    <row r="24" spans="1:15" ht="32.25" customHeight="1" x14ac:dyDescent="0.3">
      <c r="A24" s="26"/>
      <c r="B24" s="26"/>
      <c r="C24" s="26"/>
      <c r="D24" s="27"/>
      <c r="E24" s="28"/>
      <c r="F24" s="28"/>
      <c r="G24" s="28"/>
      <c r="H24" s="28"/>
      <c r="I24" s="28"/>
      <c r="J24" s="29"/>
      <c r="K24" s="30"/>
      <c r="L24" s="26"/>
      <c r="M24" s="37" t="s">
        <v>67</v>
      </c>
      <c r="N24" s="38"/>
      <c r="O24" s="31">
        <f>SUM(O19:O23)</f>
        <v>2023.89</v>
      </c>
    </row>
    <row r="25" spans="1:15" x14ac:dyDescent="0.25">
      <c r="N25" s="32"/>
    </row>
    <row r="26" spans="1:15" x14ac:dyDescent="0.25">
      <c r="N26" s="32"/>
    </row>
    <row r="27" spans="1:15" x14ac:dyDescent="0.25">
      <c r="N27" s="2"/>
    </row>
    <row r="28" spans="1:15" x14ac:dyDescent="0.25">
      <c r="N28" s="2"/>
    </row>
    <row r="29" spans="1:15" x14ac:dyDescent="0.25">
      <c r="N29" s="2"/>
    </row>
    <row r="30" spans="1:15" x14ac:dyDescent="0.25">
      <c r="N30" s="2"/>
    </row>
    <row r="31" spans="1:15" x14ac:dyDescent="0.25">
      <c r="N31" s="2"/>
    </row>
    <row r="32" spans="1:15" x14ac:dyDescent="0.25">
      <c r="N32" s="2"/>
    </row>
    <row r="33" spans="6:14" x14ac:dyDescent="0.25">
      <c r="N33" s="2"/>
    </row>
    <row r="34" spans="6:14" x14ac:dyDescent="0.25">
      <c r="F34" s="33"/>
      <c r="N34" s="2"/>
    </row>
    <row r="35" spans="6:14" x14ac:dyDescent="0.25">
      <c r="N35" s="2"/>
    </row>
    <row r="36" spans="6:14" x14ac:dyDescent="0.25">
      <c r="N36" s="2"/>
    </row>
    <row r="37" spans="6:14" x14ac:dyDescent="0.25">
      <c r="N37" s="2"/>
    </row>
    <row r="38" spans="6:14" x14ac:dyDescent="0.25">
      <c r="N38" s="2"/>
    </row>
    <row r="39" spans="6:14" x14ac:dyDescent="0.25">
      <c r="N39" s="2"/>
    </row>
    <row r="40" spans="6:14" x14ac:dyDescent="0.25">
      <c r="N40" s="2"/>
    </row>
    <row r="41" spans="6:14" x14ac:dyDescent="0.25">
      <c r="N41" s="2"/>
    </row>
    <row r="42" spans="6:14" x14ac:dyDescent="0.25">
      <c r="N42" s="2"/>
    </row>
    <row r="43" spans="6:14" x14ac:dyDescent="0.25">
      <c r="N43" s="2"/>
    </row>
    <row r="44" spans="6:14" x14ac:dyDescent="0.25">
      <c r="N44" s="2"/>
    </row>
    <row r="45" spans="6:14" x14ac:dyDescent="0.25">
      <c r="N45" s="2"/>
    </row>
    <row r="46" spans="6:14" x14ac:dyDescent="0.25">
      <c r="N46" s="2"/>
    </row>
    <row r="47" spans="6:14" x14ac:dyDescent="0.25">
      <c r="N47" s="2"/>
    </row>
    <row r="48" spans="6:14" x14ac:dyDescent="0.25">
      <c r="N48" s="2"/>
    </row>
    <row r="49" spans="14:14" x14ac:dyDescent="0.25">
      <c r="N49" s="2"/>
    </row>
    <row r="50" spans="14:14" x14ac:dyDescent="0.25">
      <c r="N50" s="2"/>
    </row>
    <row r="51" spans="14:14" x14ac:dyDescent="0.25">
      <c r="N51" s="2"/>
    </row>
    <row r="52" spans="14:14" x14ac:dyDescent="0.25">
      <c r="N52" s="2"/>
    </row>
    <row r="53" spans="14:14" x14ac:dyDescent="0.25">
      <c r="N53" s="2"/>
    </row>
    <row r="54" spans="14:14" x14ac:dyDescent="0.25">
      <c r="N54" s="2"/>
    </row>
    <row r="55" spans="14:14" x14ac:dyDescent="0.25">
      <c r="N55" s="2"/>
    </row>
    <row r="56" spans="14:14" x14ac:dyDescent="0.25">
      <c r="N56" s="2"/>
    </row>
    <row r="57" spans="14:14" x14ac:dyDescent="0.25">
      <c r="N57" s="2"/>
    </row>
    <row r="58" spans="14:14" x14ac:dyDescent="0.25">
      <c r="N58" s="2"/>
    </row>
    <row r="59" spans="14:14" x14ac:dyDescent="0.25">
      <c r="N59" s="2"/>
    </row>
    <row r="60" spans="14:14" x14ac:dyDescent="0.25">
      <c r="N60" s="2"/>
    </row>
    <row r="61" spans="14:14" x14ac:dyDescent="0.25">
      <c r="N61" s="2"/>
    </row>
    <row r="62" spans="14:14" x14ac:dyDescent="0.25">
      <c r="N62" s="2"/>
    </row>
    <row r="63" spans="14:14" x14ac:dyDescent="0.25">
      <c r="N63" s="2"/>
    </row>
    <row r="64" spans="14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</sheetData>
  <mergeCells count="19">
    <mergeCell ref="G17:O17"/>
    <mergeCell ref="D22:J22"/>
    <mergeCell ref="D23:J23"/>
    <mergeCell ref="G9:K9"/>
    <mergeCell ref="I3:K4"/>
    <mergeCell ref="I1:K2"/>
    <mergeCell ref="M24:N24"/>
    <mergeCell ref="L7:O9"/>
    <mergeCell ref="B3:H3"/>
    <mergeCell ref="L1:N3"/>
    <mergeCell ref="D18:J18"/>
    <mergeCell ref="D2:F2"/>
    <mergeCell ref="C1:H1"/>
    <mergeCell ref="A10:F17"/>
    <mergeCell ref="D19:J19"/>
    <mergeCell ref="D20:J20"/>
    <mergeCell ref="D21:J21"/>
    <mergeCell ref="G7:K8"/>
    <mergeCell ref="G10:O16"/>
  </mergeCells>
  <pageMargins left="0.74791660000000004" right="0.51180550000000002" top="0.3152778" bottom="0.47222219999999998" header="0.1576389" footer="0"/>
  <pageSetup paperSize="9" scale="85" fitToHeight="0" orientation="landscape"/>
  <headerFooter alignWithMargins="0">
    <oddHeader xml:space="preserve">&amp;R </oddHeader>
    <oddFooter>&amp;LRF135A&amp;C
&amp;R&amp;F.Rev.7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Quote</vt:lpstr>
      <vt:lpstr>Quote!Print_Area</vt:lpstr>
    </vt:vector>
  </TitlesOfParts>
  <Company>Rowe Scientific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Zaind Boothman</cp:lastModifiedBy>
  <cp:lastPrinted>2024-08-13T00:22:04Z</cp:lastPrinted>
  <dcterms:created xsi:type="dcterms:W3CDTF">1999-09-09T10:19:04Z</dcterms:created>
  <dcterms:modified xsi:type="dcterms:W3CDTF">2025-11-03T02:48:16Z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ec1c99-31d3-4e87-859e-7c7f74847519_Enabled">
    <vt:lpwstr>true</vt:lpwstr>
  </property>
  <property fmtid="{D5CDD505-2E9C-101B-9397-08002B2CF9AE}" pid="3" name="MSIP_Label_4eec1c99-31d3-4e87-859e-7c7f74847519_SetDate">
    <vt:lpwstr>2025-11-03T02:47:21Z</vt:lpwstr>
  </property>
  <property fmtid="{D5CDD505-2E9C-101B-9397-08002B2CF9AE}" pid="4" name="MSIP_Label_4eec1c99-31d3-4e87-859e-7c7f74847519_Method">
    <vt:lpwstr>Privileged</vt:lpwstr>
  </property>
  <property fmtid="{D5CDD505-2E9C-101B-9397-08002B2CF9AE}" pid="5" name="MSIP_Label_4eec1c99-31d3-4e87-859e-7c7f74847519_Name">
    <vt:lpwstr>4eec1c99-31d3-4e87-859e-7c7f74847519</vt:lpwstr>
  </property>
  <property fmtid="{D5CDD505-2E9C-101B-9397-08002B2CF9AE}" pid="6" name="MSIP_Label_4eec1c99-31d3-4e87-859e-7c7f74847519_SiteId">
    <vt:lpwstr>143a7396-a856-47d7-8e31-62990b5bacd0</vt:lpwstr>
  </property>
  <property fmtid="{D5CDD505-2E9C-101B-9397-08002B2CF9AE}" pid="7" name="MSIP_Label_4eec1c99-31d3-4e87-859e-7c7f74847519_ActionId">
    <vt:lpwstr>115f4631-b092-4f66-8399-72fbda3e3880</vt:lpwstr>
  </property>
  <property fmtid="{D5CDD505-2E9C-101B-9397-08002B2CF9AE}" pid="8" name="MSIP_Label_4eec1c99-31d3-4e87-859e-7c7f74847519_ContentBits">
    <vt:lpwstr>0</vt:lpwstr>
  </property>
  <property fmtid="{D5CDD505-2E9C-101B-9397-08002B2CF9AE}" pid="9" name="MSIP_Label_4eec1c99-31d3-4e87-859e-7c7f74847519_Tag">
    <vt:lpwstr>10, 0, 1, 1</vt:lpwstr>
  </property>
</Properties>
</file>